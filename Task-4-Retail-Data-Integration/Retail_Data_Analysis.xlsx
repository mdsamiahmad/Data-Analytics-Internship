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2.xml" ContentType="application/vnd.openxmlformats-officedocument.spreadsheetml.pivotTab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3.xml" ContentType="application/vnd.openxmlformats-officedocument.spreadsheetml.pivotTab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Intern project\task 4\"/>
    </mc:Choice>
  </mc:AlternateContent>
  <xr:revisionPtr revIDLastSave="0" documentId="13_ncr:1_{0444597B-A9A2-4BCD-81D6-ABA82CBFE7F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shboard" sheetId="9" r:id="rId1"/>
    <sheet name="Summary" sheetId="1" r:id="rId2"/>
    <sheet name="Revenue by Category" sheetId="2" r:id="rId3"/>
    <sheet name="Revenue by City" sheetId="3" r:id="rId4"/>
    <sheet name="Revenue by Channel" sheetId="4" r:id="rId5"/>
    <sheet name="Revenue by Brand" sheetId="5" r:id="rId6"/>
    <sheet name="Monthly Revenue" sheetId="6" r:id="rId7"/>
    <sheet name="Store Format" sheetId="7" r:id="rId8"/>
    <sheet name="Category &amp; Channel" sheetId="8" r:id="rId9"/>
  </sheets>
  <calcPr calcId="0"/>
  <pivotCaches>
    <pivotCache cacheId="0" r:id="rId10"/>
    <pivotCache cacheId="1" r:id="rId11"/>
    <pivotCache cacheId="2" r:id="rId12"/>
  </pivotCaches>
</workbook>
</file>

<file path=xl/sharedStrings.xml><?xml version="1.0" encoding="utf-8"?>
<sst xmlns="http://schemas.openxmlformats.org/spreadsheetml/2006/main" count="164" uniqueCount="60">
  <si>
    <t>Metric</t>
  </si>
  <si>
    <t>Value</t>
  </si>
  <si>
    <t>Total Revenue</t>
  </si>
  <si>
    <t>Total Cost</t>
  </si>
  <si>
    <t>Total Margin</t>
  </si>
  <si>
    <t>Average Order Value</t>
  </si>
  <si>
    <t>Category</t>
  </si>
  <si>
    <t>Revenue</t>
  </si>
  <si>
    <t>Fruits</t>
  </si>
  <si>
    <t>Grocery</t>
  </si>
  <si>
    <t>Snacks</t>
  </si>
  <si>
    <t>Beverages</t>
  </si>
  <si>
    <t>Home Care</t>
  </si>
  <si>
    <t>Vegetables</t>
  </si>
  <si>
    <t>Personal Care</t>
  </si>
  <si>
    <t>Dairy</t>
  </si>
  <si>
    <t>City</t>
  </si>
  <si>
    <t>Kolkata</t>
  </si>
  <si>
    <t>Delhi</t>
  </si>
  <si>
    <t>Hyderabad</t>
  </si>
  <si>
    <t>Chennai</t>
  </si>
  <si>
    <t>Pune</t>
  </si>
  <si>
    <t>Mumbai</t>
  </si>
  <si>
    <t>Ahmedabad</t>
  </si>
  <si>
    <t>Bengaluru</t>
  </si>
  <si>
    <t>Channel</t>
  </si>
  <si>
    <t>Omnichannel</t>
  </si>
  <si>
    <t>Online</t>
  </si>
  <si>
    <t>Offline</t>
  </si>
  <si>
    <t>Brand</t>
  </si>
  <si>
    <t>ITC</t>
  </si>
  <si>
    <t>HUL</t>
  </si>
  <si>
    <t>Britannia</t>
  </si>
  <si>
    <t>Nestle</t>
  </si>
  <si>
    <t>Amul</t>
  </si>
  <si>
    <t>Tata</t>
  </si>
  <si>
    <t>PepsiCo</t>
  </si>
  <si>
    <t>Parle</t>
  </si>
  <si>
    <t>Month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</si>
  <si>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</si>
  <si>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</si>
  <si>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</si>
  <si>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</si>
  <si>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</si>
  <si>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</si>
  <si>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</si>
  <si>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</si>
  <si>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</si>
  <si>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</si>
  <si>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</si>
  <si>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</si>
  <si>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Store_Format</t>
  </si>
  <si>
    <t>Hyper</t>
  </si>
  <si>
    <t>Super</t>
  </si>
  <si>
    <t>Express</t>
  </si>
  <si>
    <t>Grand Total</t>
  </si>
  <si>
    <t>Sum of Value</t>
  </si>
  <si>
    <t>Row Labels</t>
  </si>
  <si>
    <t>Retail Sales Analysis — 2024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</si>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</sst>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8" fontId="4" fillId="0" borderId="0" xfId="0" applyNumberFormat="1" applyFont="1" applyAlignment="1">
      <alignment horizontal="center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Beverages</c:v>
              </c:pt>
              <c:pt idx="1">
                <c:v>Dairy</c:v>
              </c:pt>
              <c:pt idx="2">
                <c:v>Fruits</c:v>
              </c:pt>
              <c:pt idx="3">
                <c:v>Grocery</c:v>
              </c:pt>
              <c:pt idx="4">
                <c:v>Home Care</c:v>
              </c:pt>
              <c:pt idx="5">
                <c:v>Personal Care</c:v>
              </c:pt>
              <c:pt idx="6">
                <c:v>Snacks</c:v>
              </c:pt>
              <c:pt idx="7">
                <c:v>Vegetables</c:v>
              </c:pt>
            </c:strLit>
          </c:cat>
          <c:val>
            <c:numLit>
              <c:formatCode>General</c:formatCode>
              <c:ptCount val="8"/>
              <c:pt idx="0">
                <c:v>4941030.17</c:v>
              </c:pt>
              <c:pt idx="1">
                <c:v>4787859.29</c:v>
              </c:pt>
              <c:pt idx="2">
                <c:v>4985417.9000000004</c:v>
              </c:pt>
              <c:pt idx="3">
                <c:v>4947363.17</c:v>
              </c:pt>
              <c:pt idx="4">
                <c:v>4931420.4800000004</c:v>
              </c:pt>
              <c:pt idx="5">
                <c:v>4884187.45</c:v>
              </c:pt>
              <c:pt idx="6">
                <c:v>4942554.66</c:v>
              </c:pt>
              <c:pt idx="7">
                <c:v>4915301.88</c:v>
              </c:pt>
            </c:numLit>
          </c:val>
          <c:extLst>
            <c:ext xmlns:c16="http://schemas.microsoft.com/office/drawing/2014/chart" uri="{C3380CC4-5D6E-409C-BE32-E72D297353CC}">
              <c16:uniqueId val="{00000000-7624-4A12-AC01-97E29E372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4398496"/>
        <c:axId val="1161611088"/>
      </c:barChart>
      <c:catAx>
        <c:axId val="94439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611088"/>
        <c:crosses val="autoZero"/>
        <c:auto val="1"/>
        <c:lblAlgn val="ctr"/>
        <c:lblOffset val="100"/>
        <c:noMultiLvlLbl val="0"/>
      </c:catAx>
      <c:valAx>
        <c:axId val="116161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398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Ahmedabad</c:v>
              </c:pt>
              <c:pt idx="1">
                <c:v>Bengaluru</c:v>
              </c:pt>
              <c:pt idx="2">
                <c:v>Chennai</c:v>
              </c:pt>
              <c:pt idx="3">
                <c:v>Delhi</c:v>
              </c:pt>
              <c:pt idx="4">
                <c:v>Hyderabad</c:v>
              </c:pt>
              <c:pt idx="5">
                <c:v>Kolkata</c:v>
              </c:pt>
              <c:pt idx="6">
                <c:v>Mumbai</c:v>
              </c:pt>
              <c:pt idx="7">
                <c:v>Pune</c:v>
              </c:pt>
            </c:strLit>
          </c:cat>
          <c:val>
            <c:numLit>
              <c:formatCode>General</c:formatCode>
              <c:ptCount val="8"/>
              <c:pt idx="0">
                <c:v>4877774.67</c:v>
              </c:pt>
              <c:pt idx="1">
                <c:v>4824230.07</c:v>
              </c:pt>
              <c:pt idx="2">
                <c:v>4900659.09</c:v>
              </c:pt>
              <c:pt idx="3">
                <c:v>4985262.21</c:v>
              </c:pt>
              <c:pt idx="4">
                <c:v>4950786.97</c:v>
              </c:pt>
              <c:pt idx="5">
                <c:v>4999465.1500000004</c:v>
              </c:pt>
              <c:pt idx="6">
                <c:v>4897600.18</c:v>
              </c:pt>
              <c:pt idx="7">
                <c:v>4899356.6399999997</c:v>
              </c:pt>
            </c:numLit>
          </c:val>
          <c:extLst>
            <c:ext xmlns:c16="http://schemas.microsoft.com/office/drawing/2014/chart" uri="{C3380CC4-5D6E-409C-BE32-E72D297353CC}">
              <c16:uniqueId val="{00000000-6D8E-41D0-BA07-E9400B83A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1048432"/>
        <c:axId val="1161533328"/>
      </c:barChart>
      <c:catAx>
        <c:axId val="117104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533328"/>
        <c:crosses val="autoZero"/>
        <c:auto val="1"/>
        <c:lblAlgn val="ctr"/>
        <c:lblOffset val="100"/>
        <c:noMultiLvlLbl val="0"/>
      </c:catAx>
      <c:valAx>
        <c:axId val="11615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04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Offline</c:v>
              </c:pt>
              <c:pt idx="1">
                <c:v>Omnichannel</c:v>
              </c:pt>
              <c:pt idx="2">
                <c:v>Online</c:v>
              </c:pt>
            </c:strLit>
          </c:cat>
          <c:val>
            <c:numLit>
              <c:formatCode>General</c:formatCode>
              <c:ptCount val="3"/>
              <c:pt idx="0">
                <c:v>13054483.57</c:v>
              </c:pt>
              <c:pt idx="1">
                <c:v>13162992.4</c:v>
              </c:pt>
              <c:pt idx="2">
                <c:v>13117659.01</c:v>
              </c:pt>
            </c:numLit>
          </c:val>
          <c:extLst>
            <c:ext xmlns:c16="http://schemas.microsoft.com/office/drawing/2014/chart" uri="{C3380CC4-5D6E-409C-BE32-E72D297353CC}">
              <c16:uniqueId val="{00000000-A5BB-4290-AC54-E0DA57780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5468880"/>
        <c:axId val="1161643248"/>
      </c:barChart>
      <c:catAx>
        <c:axId val="126546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643248"/>
        <c:crosses val="autoZero"/>
        <c:auto val="1"/>
        <c:lblAlgn val="ctr"/>
        <c:lblOffset val="100"/>
        <c:noMultiLvlLbl val="0"/>
      </c:catAx>
      <c:valAx>
        <c:axId val="116164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46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Revenue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6609519773916566E-2"/>
          <c:y val="0.18963679213759529"/>
          <c:w val="0.86463077552876111"/>
          <c:h val="0.691753203200422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'Monthly Revenue'!$B$1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Revenue'!$A$2:$A$13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'Monthly Revenue'!$B$2:$B$13</c:f>
              <c:numCache>
                <c:formatCode>General</c:formatCode>
                <c:ptCount val="12"/>
                <c:pt idx="0">
                  <c:v>3365380.56</c:v>
                </c:pt>
                <c:pt idx="1">
                  <c:v>3140896.09</c:v>
                </c:pt>
                <c:pt idx="2">
                  <c:v>3350248.06</c:v>
                </c:pt>
                <c:pt idx="3">
                  <c:v>3280835.98</c:v>
                </c:pt>
                <c:pt idx="4">
                  <c:v>3346824.18</c:v>
                </c:pt>
                <c:pt idx="5">
                  <c:v>3175117.85</c:v>
                </c:pt>
                <c:pt idx="6">
                  <c:v>3346063.43</c:v>
                </c:pt>
                <c:pt idx="7">
                  <c:v>3375015.06</c:v>
                </c:pt>
                <c:pt idx="8">
                  <c:v>3211407.61</c:v>
                </c:pt>
                <c:pt idx="9">
                  <c:v>3330184.25</c:v>
                </c:pt>
                <c:pt idx="10">
                  <c:v>3192325.89</c:v>
                </c:pt>
                <c:pt idx="11">
                  <c:v>3220836.04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D-4769-964C-080954CDB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7495648"/>
        <c:axId val="1161508848"/>
      </c:barChart>
      <c:catAx>
        <c:axId val="126749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508848"/>
        <c:crosses val="autoZero"/>
        <c:auto val="1"/>
        <c:lblAlgn val="ctr"/>
        <c:lblOffset val="100"/>
        <c:noMultiLvlLbl val="0"/>
      </c:catAx>
      <c:valAx>
        <c:axId val="116150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495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Brand'!$B$1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Brand'!$A$2:$A$9</c:f>
              <c:strCache>
                <c:ptCount val="8"/>
                <c:pt idx="0">
                  <c:v>ITC</c:v>
                </c:pt>
                <c:pt idx="1">
                  <c:v>HUL</c:v>
                </c:pt>
                <c:pt idx="2">
                  <c:v>Britannia</c:v>
                </c:pt>
                <c:pt idx="3">
                  <c:v>Nestle</c:v>
                </c:pt>
                <c:pt idx="4">
                  <c:v>Amul</c:v>
                </c:pt>
                <c:pt idx="5">
                  <c:v>Tata</c:v>
                </c:pt>
                <c:pt idx="6">
                  <c:v>PepsiCo</c:v>
                </c:pt>
                <c:pt idx="7">
                  <c:v>Parle</c:v>
                </c:pt>
              </c:strCache>
            </c:strRef>
          </c:cat>
          <c:val>
            <c:numRef>
              <c:f>'Revenue by Brand'!$B$2:$B$9</c:f>
              <c:numCache>
                <c:formatCode>General</c:formatCode>
                <c:ptCount val="8"/>
                <c:pt idx="0">
                  <c:v>5019512.9000000004</c:v>
                </c:pt>
                <c:pt idx="1">
                  <c:v>4967523.37</c:v>
                </c:pt>
                <c:pt idx="2">
                  <c:v>4942030.33</c:v>
                </c:pt>
                <c:pt idx="3">
                  <c:v>4941904.04</c:v>
                </c:pt>
                <c:pt idx="4">
                  <c:v>4937874.07</c:v>
                </c:pt>
                <c:pt idx="5">
                  <c:v>4868135.99</c:v>
                </c:pt>
                <c:pt idx="6">
                  <c:v>4853369.5599999996</c:v>
                </c:pt>
                <c:pt idx="7">
                  <c:v>4804784.72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2-4EDE-B855-5EE22014A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8316304"/>
        <c:axId val="1161614928"/>
      </c:barChart>
      <c:catAx>
        <c:axId val="134831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614928"/>
        <c:crosses val="autoZero"/>
        <c:auto val="1"/>
        <c:lblAlgn val="ctr"/>
        <c:lblOffset val="100"/>
        <c:noMultiLvlLbl val="0"/>
      </c:catAx>
      <c:valAx>
        <c:axId val="116161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1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Store Format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'Store Format'!$B$1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'Store Format'!$A$2:$A$4</c:f>
              <c:strCache>
                <c:ptCount val="3"/>
                <c:pt idx="0">
                  <c:v>Hyper</c:v>
                </c:pt>
                <c:pt idx="1">
                  <c:v>Super</c:v>
                </c:pt>
                <c:pt idx="2">
                  <c:v>Express</c:v>
                </c:pt>
              </c:strCache>
            </c:strRef>
          </c:cat>
          <c:val>
            <c:numRef>
              <c:f>'Store Format'!$B$2:$B$4</c:f>
              <c:numCache>
                <c:formatCode>General</c:formatCode>
                <c:ptCount val="3"/>
                <c:pt idx="0">
                  <c:v>13225626.24</c:v>
                </c:pt>
                <c:pt idx="1">
                  <c:v>13099594.73</c:v>
                </c:pt>
                <c:pt idx="2">
                  <c:v>13009914.01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30-4590-9A10-5653CEE4A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2904384"/>
        <c:axId val="1161525168"/>
      </c:barChart>
      <c:catAx>
        <c:axId val="117290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525168"/>
        <c:crosses val="autoZero"/>
        <c:auto val="1"/>
        <c:lblAlgn val="ctr"/>
        <c:lblOffset val="100"/>
        <c:noMultiLvlLbl val="0"/>
      </c:catAx>
      <c:valAx>
        <c:axId val="116152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90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[Retail_Data_Analysis.xlsx]Category &amp; Channel!PivotTable16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Category &amp; Channel</a:t>
            </a:r>
            <a:endParaRPr lang="en-US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&amp; Channel'!$K$11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'Category &amp; Channel'!$J$12:$J$44</c:f>
              <c:multiLvlStrCache>
                <c:ptCount val="24"/>
                <c:lvl>
                  <c:pt idx="0">
                    <c:v>Offline</c:v>
                  </c:pt>
                  <c:pt idx="1">
                    <c:v>Omnichannel</c:v>
                  </c:pt>
                  <c:pt idx="2">
                    <c:v>Online</c:v>
                  </c:pt>
                  <c:pt idx="3">
                    <c:v>Offline</c:v>
                  </c:pt>
                  <c:pt idx="4">
                    <c:v>Omnichannel</c:v>
                  </c:pt>
                  <c:pt idx="5">
                    <c:v>Online</c:v>
                  </c:pt>
                  <c:pt idx="6">
                    <c:v>Offline</c:v>
                  </c:pt>
                  <c:pt idx="7">
                    <c:v>Omnichannel</c:v>
                  </c:pt>
                  <c:pt idx="8">
                    <c:v>Online</c:v>
                  </c:pt>
                  <c:pt idx="9">
                    <c:v>Offline</c:v>
                  </c:pt>
                  <c:pt idx="10">
                    <c:v>Omnichannel</c:v>
                  </c:pt>
                  <c:pt idx="11">
                    <c:v>Online</c:v>
                  </c:pt>
                  <c:pt idx="12">
                    <c:v>Offline</c:v>
                  </c:pt>
                  <c:pt idx="13">
                    <c:v>Omnichannel</c:v>
                  </c:pt>
                  <c:pt idx="14">
                    <c:v>Online</c:v>
                  </c:pt>
                  <c:pt idx="15">
                    <c:v>Offline</c:v>
                  </c:pt>
                  <c:pt idx="16">
                    <c:v>Omnichannel</c:v>
                  </c:pt>
                  <c:pt idx="17">
                    <c:v>Online</c:v>
                  </c:pt>
                  <c:pt idx="18">
                    <c:v>Offline</c:v>
                  </c:pt>
                  <c:pt idx="19">
                    <c:v>Omnichannel</c:v>
                  </c:pt>
                  <c:pt idx="20">
                    <c:v>Online</c:v>
                  </c:pt>
                  <c:pt idx="21">
                    <c:v>Offline</c:v>
                  </c:pt>
                  <c:pt idx="22">
                    <c:v>Omnichannel</c:v>
                  </c:pt>
                  <c:pt idx="23">
                    <c:v>Online</c:v>
                  </c:pt>
                </c:lvl>
                <c:lvl>
                  <c:pt idx="0">
                    <c:v>Beverages</c:v>
                  </c:pt>
                  <c:pt idx="3">
                    <c:v>Dairy</c:v>
                  </c:pt>
                  <c:pt idx="6">
                    <c:v>Fruits</c:v>
                  </c:pt>
                  <c:pt idx="9">
                    <c:v>Grocery</c:v>
                  </c:pt>
                  <c:pt idx="12">
                    <c:v>Home Care</c:v>
                  </c:pt>
                  <c:pt idx="15">
                    <c:v>Personal Care</c:v>
                  </c:pt>
                  <c:pt idx="18">
                    <c:v>Snacks</c:v>
                  </c:pt>
                  <c:pt idx="21">
                    <c:v>Vegetables</c:v>
                  </c:pt>
                </c:lvl>
              </c:multiLvlStrCache>
            </c:multiLvlStrRef>
          </c:cat>
          <c:val>
            <c:numRef>
              <c:f>'Category &amp; Channel'!$K$12:$K$44</c:f>
              <c:numCache>
                <c:formatCode>General</c:formatCode>
                <c:ptCount val="24"/>
                <c:pt idx="0">
                  <c:v>1668306.33</c:v>
                </c:pt>
                <c:pt idx="1">
                  <c:v>1608753.04</c:v>
                </c:pt>
                <c:pt idx="2">
                  <c:v>1663970.8</c:v>
                </c:pt>
                <c:pt idx="3">
                  <c:v>1560039.65</c:v>
                </c:pt>
                <c:pt idx="4">
                  <c:v>1608152.18</c:v>
                </c:pt>
                <c:pt idx="5">
                  <c:v>1619667.46</c:v>
                </c:pt>
                <c:pt idx="6">
                  <c:v>1687698.97</c:v>
                </c:pt>
                <c:pt idx="7">
                  <c:v>1650724.5</c:v>
                </c:pt>
                <c:pt idx="8">
                  <c:v>1646994.42</c:v>
                </c:pt>
                <c:pt idx="9">
                  <c:v>1615474.8</c:v>
                </c:pt>
                <c:pt idx="10">
                  <c:v>1691965.02</c:v>
                </c:pt>
                <c:pt idx="11">
                  <c:v>1639923.35</c:v>
                </c:pt>
                <c:pt idx="12">
                  <c:v>1612412.15</c:v>
                </c:pt>
                <c:pt idx="13">
                  <c:v>1652549.21</c:v>
                </c:pt>
                <c:pt idx="14">
                  <c:v>1666459.12</c:v>
                </c:pt>
                <c:pt idx="15">
                  <c:v>1590020.16</c:v>
                </c:pt>
                <c:pt idx="16">
                  <c:v>1668417.77</c:v>
                </c:pt>
                <c:pt idx="17">
                  <c:v>1625749.51</c:v>
                </c:pt>
                <c:pt idx="18">
                  <c:v>1680910.79</c:v>
                </c:pt>
                <c:pt idx="19">
                  <c:v>1666964.97</c:v>
                </c:pt>
                <c:pt idx="20">
                  <c:v>1594678.9</c:v>
                </c:pt>
                <c:pt idx="21">
                  <c:v>1639620.72</c:v>
                </c:pt>
                <c:pt idx="22">
                  <c:v>1615465.71</c:v>
                </c:pt>
                <c:pt idx="23">
                  <c:v>1660215.45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7-4535-B5FD-AA54CC961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7134704"/>
        <c:axId val="1161584208"/>
      </c:barChart>
      <c:catAx>
        <c:axId val="135713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584208"/>
        <c:crosses val="autoZero"/>
        <c:auto val="1"/>
        <c:lblAlgn val="ctr"/>
        <c:lblOffset val="100"/>
        <c:noMultiLvlLbl val="0"/>
      </c:catAx>
      <c:valAx>
        <c:axId val="116158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3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[Retail_Data_Analysis.xlsx]Summary!PivotTable17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Summary!$G$2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BC3-4170-995D-C3ADEB1FAB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BC3-4170-995D-C3ADEB1FAB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BC3-4170-995D-C3ADEB1FAB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BC3-4170-995D-C3ADEB1FABCE}"/>
              </c:ext>
            </c:extLst>
          </c:dPt>
          <c:cat>
            <c:strRef>
              <c:f>Summary!$F$3:$F$7</c:f>
              <c:strCache>
                <c:ptCount val="4"/>
                <c:pt idx="0">
                  <c:v>Average Order Value</c:v>
                </c:pt>
                <c:pt idx="1">
                  <c:v>Total Cost</c:v>
                </c:pt>
                <c:pt idx="2">
                  <c:v>Total Margin</c:v>
                </c:pt>
                <c:pt idx="3">
                  <c:v>Total Revenue</c:v>
                </c:pt>
              </c:strCache>
            </c:strRef>
          </c:cat>
          <c:val>
            <c:numRef>
              <c:f>Summary!$G$3:$G$7</c:f>
              <c:numCache>
                <c:formatCode>General</c:formatCode>
                <c:ptCount val="4"/>
                <c:pt idx="0">
                  <c:v>393.6</c:v>
                </c:pt>
                <c:pt idx="1">
                  <c:v>31461449.329999998</c:v>
                </c:pt>
                <c:pt idx="2">
                  <c:v>7873685.6600000001</c:v>
                </c:pt>
                <c:pt idx="3">
                  <c:v>39335134.979999997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27-4872-B10F-1A751676C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Category'!$B$1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Category'!$A$2:$A$9</c:f>
              <c:strCache>
                <c:ptCount val="8"/>
                <c:pt idx="0">
                  <c:v>Fruits</c:v>
                </c:pt>
                <c:pt idx="1">
                  <c:v>Grocery</c:v>
                </c:pt>
                <c:pt idx="2">
                  <c:v>Snacks</c:v>
                </c:pt>
                <c:pt idx="3">
                  <c:v>Beverages</c:v>
                </c:pt>
                <c:pt idx="4">
                  <c:v>Home Care</c:v>
                </c:pt>
                <c:pt idx="5">
                  <c:v>Vegetables</c:v>
                </c:pt>
                <c:pt idx="6">
                  <c:v>Personal Care</c:v>
                </c:pt>
                <c:pt idx="7">
                  <c:v>Dairy</c:v>
                </c:pt>
              </c:strCache>
            </c:strRef>
          </c:cat>
          <c:val>
            <c:numRef>
              <c:f>'Revenue by Category'!$B$2:$B$9</c:f>
              <c:numCache>
                <c:formatCode>General</c:formatCode>
                <c:ptCount val="8"/>
                <c:pt idx="0">
                  <c:v>4985417.9000000004</c:v>
                </c:pt>
                <c:pt idx="1">
                  <c:v>4947363.17</c:v>
                </c:pt>
                <c:pt idx="2">
                  <c:v>4942554.66</c:v>
                </c:pt>
                <c:pt idx="3">
                  <c:v>4941030.17</c:v>
                </c:pt>
                <c:pt idx="4">
                  <c:v>4931420.4800000004</c:v>
                </c:pt>
                <c:pt idx="5">
                  <c:v>4915301.88</c:v>
                </c:pt>
                <c:pt idx="6">
                  <c:v>4884187.45</c:v>
                </c:pt>
                <c:pt idx="7">
                  <c:v>4787859.29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5F-4365-8934-C8A1E3B72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3694768"/>
        <c:axId val="1161522768"/>
      </c:barChart>
      <c:catAx>
        <c:axId val="134369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522768"/>
        <c:crosses val="autoZero"/>
        <c:auto val="1"/>
        <c:lblAlgn val="ctr"/>
        <c:lblOffset val="100"/>
        <c:noMultiLvlLbl val="0"/>
      </c:catAx>
      <c:valAx>
        <c:axId val="116152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694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</a:t>
            </a:r>
            <a:r>
              <a:rPr lang="en-IN" baseline="0"/>
              <a:t> City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City'!$B$1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City'!$A$2:$A$9</c:f>
              <c:strCache>
                <c:ptCount val="8"/>
                <c:pt idx="0">
                  <c:v>Kolkata</c:v>
                </c:pt>
                <c:pt idx="1">
                  <c:v>Delhi</c:v>
                </c:pt>
                <c:pt idx="2">
                  <c:v>Hyderabad</c:v>
                </c:pt>
                <c:pt idx="3">
                  <c:v>Chennai</c:v>
                </c:pt>
                <c:pt idx="4">
                  <c:v>Pune</c:v>
                </c:pt>
                <c:pt idx="5">
                  <c:v>Mumbai</c:v>
                </c:pt>
                <c:pt idx="6">
                  <c:v>Ahmedabad</c:v>
                </c:pt>
                <c:pt idx="7">
                  <c:v>Bengaluru</c:v>
                </c:pt>
              </c:strCache>
            </c:strRef>
          </c:cat>
          <c:val>
            <c:numRef>
              <c:f>'Revenue by City'!$B$2:$B$9</c:f>
              <c:numCache>
                <c:formatCode>General</c:formatCode>
                <c:ptCount val="8"/>
                <c:pt idx="0">
                  <c:v>4999465.1500000004</c:v>
                </c:pt>
                <c:pt idx="1">
                  <c:v>4985262.21</c:v>
                </c:pt>
                <c:pt idx="2">
                  <c:v>4950786.97</c:v>
                </c:pt>
                <c:pt idx="3">
                  <c:v>4900659.09</c:v>
                </c:pt>
                <c:pt idx="4">
                  <c:v>4899356.6399999997</c:v>
                </c:pt>
                <c:pt idx="5">
                  <c:v>4897600.18</c:v>
                </c:pt>
                <c:pt idx="6">
                  <c:v>4877774.67</c:v>
                </c:pt>
                <c:pt idx="7">
                  <c:v>4824230.07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D-473C-9C9B-7791B7B3B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8305632"/>
        <c:axId val="1161699888"/>
      </c:barChart>
      <c:catAx>
        <c:axId val="134830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699888"/>
        <c:crosses val="autoZero"/>
        <c:auto val="1"/>
        <c:lblAlgn val="ctr"/>
        <c:lblOffset val="100"/>
        <c:noMultiLvlLbl val="0"/>
      </c:catAx>
      <c:valAx>
        <c:axId val="116169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0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Channel'!$B$1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Channel'!$A$2:$A$4</c:f>
              <c:strCache>
                <c:ptCount val="3"/>
                <c:pt idx="0">
                  <c:v>Omnichannel</c:v>
                </c:pt>
                <c:pt idx="1">
                  <c:v>Online</c:v>
                </c:pt>
                <c:pt idx="2">
                  <c:v>Offline</c:v>
                </c:pt>
              </c:strCache>
            </c:strRef>
          </c:cat>
          <c:val>
            <c:numRef>
              <c:f>'Revenue by Channel'!$B$2:$B$4</c:f>
              <c:numCache>
                <c:formatCode>General</c:formatCode>
                <c:ptCount val="3"/>
                <c:pt idx="0">
                  <c:v>13162992.4</c:v>
                </c:pt>
                <c:pt idx="1">
                  <c:v>13117659.01</c:v>
                </c:pt>
                <c:pt idx="2">
                  <c:v>13054483.57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3-48B9-99B2-EA022017A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8307952"/>
        <c:axId val="1161616848"/>
      </c:barChart>
      <c:catAx>
        <c:axId val="134830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616848"/>
        <c:crosses val="autoZero"/>
        <c:auto val="1"/>
        <c:lblAlgn val="ctr"/>
        <c:lblOffset val="100"/>
        <c:noMultiLvlLbl val="0"/>
      </c:catAx>
      <c:valAx>
        <c:axId val="116161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0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Brand'!$B$1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Brand'!$A$2:$A$9</c:f>
              <c:strCache>
                <c:ptCount val="8"/>
                <c:pt idx="0">
                  <c:v>ITC</c:v>
                </c:pt>
                <c:pt idx="1">
                  <c:v>HUL</c:v>
                </c:pt>
                <c:pt idx="2">
                  <c:v>Britannia</c:v>
                </c:pt>
                <c:pt idx="3">
                  <c:v>Nestle</c:v>
                </c:pt>
                <c:pt idx="4">
                  <c:v>Amul</c:v>
                </c:pt>
                <c:pt idx="5">
                  <c:v>Tata</c:v>
                </c:pt>
                <c:pt idx="6">
                  <c:v>PepsiCo</c:v>
                </c:pt>
                <c:pt idx="7">
                  <c:v>Parle</c:v>
                </c:pt>
              </c:strCache>
            </c:strRef>
          </c:cat>
          <c:val>
            <c:numRef>
              <c:f>'Revenue by Brand'!$B$2:$B$9</c:f>
              <c:numCache>
                <c:formatCode>General</c:formatCode>
                <c:ptCount val="8"/>
                <c:pt idx="0">
                  <c:v>5019512.9000000004</c:v>
                </c:pt>
                <c:pt idx="1">
                  <c:v>4967523.37</c:v>
                </c:pt>
                <c:pt idx="2">
                  <c:v>4942030.33</c:v>
                </c:pt>
                <c:pt idx="3">
                  <c:v>4941904.04</c:v>
                </c:pt>
                <c:pt idx="4">
                  <c:v>4937874.07</c:v>
                </c:pt>
                <c:pt idx="5">
                  <c:v>4868135.99</c:v>
                </c:pt>
                <c:pt idx="6">
                  <c:v>4853369.5599999996</c:v>
                </c:pt>
                <c:pt idx="7">
                  <c:v>4804784.72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E9-40ED-8A72-5B37DEA05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8316304"/>
        <c:axId val="1161614928"/>
      </c:barChart>
      <c:catAx>
        <c:axId val="134831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614928"/>
        <c:crosses val="autoZero"/>
        <c:auto val="1"/>
        <c:lblAlgn val="ctr"/>
        <c:lblOffset val="100"/>
        <c:noMultiLvlLbl val="0"/>
      </c:catAx>
      <c:valAx>
        <c:axId val="116161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1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</a:t>
            </a:r>
            <a:r>
              <a:rPr lang="en-IN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Revenue'!$B$1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Revenue'!$A$2:$A$13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'Monthly Revenue'!$B$2:$B$13</c:f>
              <c:numCache>
                <c:formatCode>General</c:formatCode>
                <c:ptCount val="12"/>
                <c:pt idx="0">
                  <c:v>3365380.56</c:v>
                </c:pt>
                <c:pt idx="1">
                  <c:v>3140896.09</c:v>
                </c:pt>
                <c:pt idx="2">
                  <c:v>3350248.06</c:v>
                </c:pt>
                <c:pt idx="3">
                  <c:v>3280835.98</c:v>
                </c:pt>
                <c:pt idx="4">
                  <c:v>3346824.18</c:v>
                </c:pt>
                <c:pt idx="5">
                  <c:v>3175117.85</c:v>
                </c:pt>
                <c:pt idx="6">
                  <c:v>3346063.43</c:v>
                </c:pt>
                <c:pt idx="7">
                  <c:v>3375015.06</c:v>
                </c:pt>
                <c:pt idx="8">
                  <c:v>3211407.61</c:v>
                </c:pt>
                <c:pt idx="9">
                  <c:v>3330184.25</c:v>
                </c:pt>
                <c:pt idx="10">
                  <c:v>3192325.89</c:v>
                </c:pt>
                <c:pt idx="11">
                  <c:v>3220836.04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53-4592-8DAF-93A66C999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7495648"/>
        <c:axId val="1161508848"/>
      </c:barChart>
      <c:catAx>
        <c:axId val="126749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508848"/>
        <c:crosses val="autoZero"/>
        <c:auto val="1"/>
        <c:lblAlgn val="ctr"/>
        <c:lblOffset val="100"/>
        <c:noMultiLvlLbl val="0"/>
      </c:catAx>
      <c:valAx>
        <c:axId val="116150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495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Store Format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'Store Format'!$B$1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'Store Format'!$A$2:$A$4</c:f>
              <c:strCache>
                <c:ptCount val="3"/>
                <c:pt idx="0">
                  <c:v>Hyper</c:v>
                </c:pt>
                <c:pt idx="1">
                  <c:v>Super</c:v>
                </c:pt>
                <c:pt idx="2">
                  <c:v>Express</c:v>
                </c:pt>
              </c:strCache>
            </c:strRef>
          </c:cat>
          <c:val>
            <c:numRef>
              <c:f>'Store Format'!$B$2:$B$4</c:f>
              <c:numCache>
                <c:formatCode>General</c:formatCode>
                <c:ptCount val="3"/>
                <c:pt idx="0">
                  <c:v>13225626.24</c:v>
                </c:pt>
                <c:pt idx="1">
                  <c:v>13099594.73</c:v>
                </c:pt>
                <c:pt idx="2">
                  <c:v>13009914.01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8D-4599-A1A3-79EA2DC14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2904384"/>
        <c:axId val="1161525168"/>
      </c:barChart>
      <c:catAx>
        <c:axId val="117290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525168"/>
        <c:crosses val="autoZero"/>
        <c:auto val="1"/>
        <c:lblAlgn val="ctr"/>
        <c:lblOffset val="100"/>
        <c:noMultiLvlLbl val="0"/>
      </c:catAx>
      <c:valAx>
        <c:axId val="116152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90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[Retail_Data_Analysis.xlsx]Category &amp; Channel!PivotTable16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Category &amp; Channel</a:t>
            </a:r>
            <a:endParaRPr lang="en-US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&amp; Channel'!$K$11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'Category &amp; Channel'!$J$12:$J$44</c:f>
              <c:multiLvlStrCache>
                <c:ptCount val="24"/>
                <c:lvl>
                  <c:pt idx="0">
                    <c:v>Offline</c:v>
                  </c:pt>
                  <c:pt idx="1">
                    <c:v>Omnichannel</c:v>
                  </c:pt>
                  <c:pt idx="2">
                    <c:v>Online</c:v>
                  </c:pt>
                  <c:pt idx="3">
                    <c:v>Offline</c:v>
                  </c:pt>
                  <c:pt idx="4">
                    <c:v>Omnichannel</c:v>
                  </c:pt>
                  <c:pt idx="5">
                    <c:v>Online</c:v>
                  </c:pt>
                  <c:pt idx="6">
                    <c:v>Offline</c:v>
                  </c:pt>
                  <c:pt idx="7">
                    <c:v>Omnichannel</c:v>
                  </c:pt>
                  <c:pt idx="8">
                    <c:v>Online</c:v>
                  </c:pt>
                  <c:pt idx="9">
                    <c:v>Offline</c:v>
                  </c:pt>
                  <c:pt idx="10">
                    <c:v>Omnichannel</c:v>
                  </c:pt>
                  <c:pt idx="11">
                    <c:v>Online</c:v>
                  </c:pt>
                  <c:pt idx="12">
                    <c:v>Offline</c:v>
                  </c:pt>
                  <c:pt idx="13">
                    <c:v>Omnichannel</c:v>
                  </c:pt>
                  <c:pt idx="14">
                    <c:v>Online</c:v>
                  </c:pt>
                  <c:pt idx="15">
                    <c:v>Offline</c:v>
                  </c:pt>
                  <c:pt idx="16">
                    <c:v>Omnichannel</c:v>
                  </c:pt>
                  <c:pt idx="17">
                    <c:v>Online</c:v>
                  </c:pt>
                  <c:pt idx="18">
                    <c:v>Offline</c:v>
                  </c:pt>
                  <c:pt idx="19">
                    <c:v>Omnichannel</c:v>
                  </c:pt>
                  <c:pt idx="20">
                    <c:v>Online</c:v>
                  </c:pt>
                  <c:pt idx="21">
                    <c:v>Offline</c:v>
                  </c:pt>
                  <c:pt idx="22">
                    <c:v>Omnichannel</c:v>
                  </c:pt>
                  <c:pt idx="23">
                    <c:v>Online</c:v>
                  </c:pt>
                </c:lvl>
                <c:lvl>
                  <c:pt idx="0">
                    <c:v>Beverages</c:v>
                  </c:pt>
                  <c:pt idx="3">
                    <c:v>Dairy</c:v>
                  </c:pt>
                  <c:pt idx="6">
                    <c:v>Fruits</c:v>
                  </c:pt>
                  <c:pt idx="9">
                    <c:v>Grocery</c:v>
                  </c:pt>
                  <c:pt idx="12">
                    <c:v>Home Care</c:v>
                  </c:pt>
                  <c:pt idx="15">
                    <c:v>Personal Care</c:v>
                  </c:pt>
                  <c:pt idx="18">
                    <c:v>Snacks</c:v>
                  </c:pt>
                  <c:pt idx="21">
                    <c:v>Vegetables</c:v>
                  </c:pt>
                </c:lvl>
              </c:multiLvlStrCache>
            </c:multiLvlStrRef>
          </c:cat>
          <c:val>
            <c:numRef>
              <c:f>'Category &amp; Channel'!$K$12:$K$44</c:f>
              <c:numCache>
                <c:formatCode>General</c:formatCode>
                <c:ptCount val="24"/>
                <c:pt idx="0">
                  <c:v>1668306.33</c:v>
                </c:pt>
                <c:pt idx="1">
                  <c:v>1608753.04</c:v>
                </c:pt>
                <c:pt idx="2">
                  <c:v>1663970.8</c:v>
                </c:pt>
                <c:pt idx="3">
                  <c:v>1560039.65</c:v>
                </c:pt>
                <c:pt idx="4">
                  <c:v>1608152.18</c:v>
                </c:pt>
                <c:pt idx="5">
                  <c:v>1619667.46</c:v>
                </c:pt>
                <c:pt idx="6">
                  <c:v>1687698.97</c:v>
                </c:pt>
                <c:pt idx="7">
                  <c:v>1650724.5</c:v>
                </c:pt>
                <c:pt idx="8">
                  <c:v>1646994.42</c:v>
                </c:pt>
                <c:pt idx="9">
                  <c:v>1615474.8</c:v>
                </c:pt>
                <c:pt idx="10">
                  <c:v>1691965.02</c:v>
                </c:pt>
                <c:pt idx="11">
                  <c:v>1639923.35</c:v>
                </c:pt>
                <c:pt idx="12">
                  <c:v>1612412.15</c:v>
                </c:pt>
                <c:pt idx="13">
                  <c:v>1652549.21</c:v>
                </c:pt>
                <c:pt idx="14">
                  <c:v>1666459.12</c:v>
                </c:pt>
                <c:pt idx="15">
                  <c:v>1590020.16</c:v>
                </c:pt>
                <c:pt idx="16">
                  <c:v>1668417.77</c:v>
                </c:pt>
                <c:pt idx="17">
                  <c:v>1625749.51</c:v>
                </c:pt>
                <c:pt idx="18">
                  <c:v>1680910.79</c:v>
                </c:pt>
                <c:pt idx="19">
                  <c:v>1666964.97</c:v>
                </c:pt>
                <c:pt idx="20">
                  <c:v>1594678.9</c:v>
                </c:pt>
                <c:pt idx="21">
                  <c:v>1639620.72</c:v>
                </c:pt>
                <c:pt idx="22">
                  <c:v>1615465.71</c:v>
                </c:pt>
                <c:pt idx="23">
                  <c:v>1660215.45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9-4549-BF6E-06E5704B0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7134704"/>
        <c:axId val="1161584208"/>
      </c:barChart>
      <c:catAx>
        <c:axId val="135713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584208"/>
        <c:crosses val="autoZero"/>
        <c:auto val="1"/>
        <c:lblAlgn val="ctr"/>
        <c:lblOffset val="100"/>
        <c:noMultiLvlLbl val="0"/>
      </c:catAx>
      <c:valAx>
        <c:axId val="116158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3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169175</xdr:rowOff>
    </xdr:from>
    <xdr:to>
      <xdr:col>5</xdr:col>
      <xdr:colOff>0</xdr:colOff>
      <xdr:row>17</xdr:row>
      <xdr:rowOff>5345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95DE3C-706C-7874-E626-32338D2C6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168235</xdr:rowOff>
    </xdr:from>
    <xdr:to>
      <xdr:col>5</xdr:col>
      <xdr:colOff>0</xdr:colOff>
      <xdr:row>30</xdr:row>
      <xdr:rowOff>175855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7E93B7-2B4D-EA41-1779-BADF3ED99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18</xdr:row>
      <xdr:rowOff>157744</xdr:rowOff>
    </xdr:from>
    <xdr:to>
      <xdr:col>12</xdr:col>
      <xdr:colOff>9895</xdr:colOff>
      <xdr:row>30</xdr:row>
      <xdr:rowOff>138546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F35B26-99A5-5D56-F39B-505361EC0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</xdr:colOff>
      <xdr:row>33</xdr:row>
      <xdr:rowOff>19792</xdr:rowOff>
    </xdr:from>
    <xdr:to>
      <xdr:col>5</xdr:col>
      <xdr:colOff>9896</xdr:colOff>
      <xdr:row>47</xdr:row>
      <xdr:rowOff>9896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6E03A9-F01B-467D-8CC2-26EFAD0C3E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19792</xdr:colOff>
      <xdr:row>32</xdr:row>
      <xdr:rowOff>168233</xdr:rowOff>
    </xdr:from>
    <xdr:to>
      <xdr:col>12</xdr:col>
      <xdr:colOff>9896</xdr:colOff>
      <xdr:row>47</xdr:row>
      <xdr:rowOff>9896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73514C-E201-4541-93BF-496CF91C3E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573973</xdr:colOff>
      <xdr:row>5</xdr:row>
      <xdr:rowOff>0</xdr:rowOff>
    </xdr:from>
    <xdr:to>
      <xdr:col>11</xdr:col>
      <xdr:colOff>593766</xdr:colOff>
      <xdr:row>17</xdr:row>
      <xdr:rowOff>29688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D8B4BA8-942C-4B8D-8F11-EB3E147521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49</xdr:row>
      <xdr:rowOff>49480</xdr:rowOff>
    </xdr:from>
    <xdr:to>
      <xdr:col>5</xdr:col>
      <xdr:colOff>593766</xdr:colOff>
      <xdr:row>65</xdr:row>
      <xdr:rowOff>76002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E9C3EF6-EB8D-4B22-B043-51057E0054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198120</xdr:colOff>
      <xdr:row>7</xdr:row>
      <xdr:rowOff>83820</xdr:rowOff>
    </xdr:from>
    <xdr:to>
      <xdr:col>9</xdr:col>
      <xdr:colOff>220980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AAF09B-43ED-BF0E-E850-05E9507E54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464820</xdr:colOff>
      <xdr:row>0</xdr:row>
      <xdr:rowOff>22860</xdr:rowOff>
    </xdr:from>
    <xdr:to>
      <xdr:col>11</xdr:col>
      <xdr:colOff>22860</xdr:colOff>
      <xdr:row>15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BA826A-39F7-0A95-817E-F7C48D8DC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0</xdr:row>
      <xdr:rowOff>0</xdr:rowOff>
    </xdr:from>
    <xdr:to>
      <xdr:col>11</xdr:col>
      <xdr:colOff>548640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75454F-AD21-5CF2-9FF6-E3D596EC6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7620</xdr:rowOff>
    </xdr:from>
    <xdr:to>
      <xdr:col>10</xdr:col>
      <xdr:colOff>304800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DEF950-4337-4A0E-5629-99BC01ACC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0</xdr:row>
      <xdr:rowOff>0</xdr:rowOff>
    </xdr:from>
    <xdr:to>
      <xdr:col>10</xdr:col>
      <xdr:colOff>327660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CB2B79-9104-E790-6A4C-53ED7170FF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7</xdr:row>
      <xdr:rowOff>83820</xdr:rowOff>
    </xdr:from>
    <xdr:to>
      <xdr:col>12</xdr:col>
      <xdr:colOff>510540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296A30-432F-8488-4B34-84B535E62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0</xdr:row>
      <xdr:rowOff>99060</xdr:rowOff>
    </xdr:from>
    <xdr:to>
      <xdr:col>10</xdr:col>
      <xdr:colOff>335280</xdr:colOff>
      <xdr:row>15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522420-6CC1-8F11-EAEA-7135E6711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7</xdr:row>
      <xdr:rowOff>83820</xdr:rowOff>
    </xdr:from>
    <xdr:to>
      <xdr:col>14</xdr:col>
      <xdr:colOff>45720</xdr:colOff>
      <xdr:row>23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9D8661-8030-3061-8877-8F9772FFF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i Ahmad" refreshedDate="46287.056622916665" createdVersion="8" refreshedVersion="8" minRefreshableVersion="3" recordCount="3" xr:uid="{6CD9C92A-6502-4E16-97D4-6BBD311AE7CB}">
  <cacheSource type="worksheet">
    <worksheetSource ref="A1:B4" sheet="Store Format"/>
  </cacheSource>
  <cacheFields count="2">
    <cacheField name="Store_Format" numFmtId="0">
      <sharedItems count="3">
        <s v="Hyper"/>
        <s v="Super"/>
        <s v="Express"/>
      </sharedItems>
    </cacheField>
    <cacheField name="Revenue" numFmtId="0">
      <sharedItems containsSemiMixedTypes="0" containsString="0" containsNumber="1" minValue="13009914.01" maxValue="13225626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i Ahmad" refreshedDate="46287.060719328707" createdVersion="8" refreshedVersion="8" minRefreshableVersion="3" recordCount="24" xr:uid="{56425AAD-C6EF-4E42-8679-4092D1E9A3DF}">
  <cacheSource type="worksheet">
    <worksheetSource ref="A1:C25" sheet="Category &amp; Channel"/>
  </cacheSource>
  <cacheFields count="3">
    <cacheField name="Category" numFmtId="0">
      <sharedItems count="8">
        <s v="Beverages"/>
        <s v="Dairy"/>
        <s v="Fruits"/>
        <s v="Grocery"/>
        <s v="Home Care"/>
        <s v="Personal Care"/>
        <s v="Snacks"/>
        <s v="Vegetables"/>
      </sharedItems>
    </cacheField>
    <cacheField name="Channel" numFmtId="0">
      <sharedItems count="3">
        <s v="Offline"/>
        <s v="Online"/>
        <s v="Omnichannel"/>
      </sharedItems>
    </cacheField>
    <cacheField name="Revenue" numFmtId="0">
      <sharedItems containsSemiMixedTypes="0" containsString="0" containsNumber="1" minValue="1560039.65" maxValue="1691965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i Ahmad" refreshedDate="46287.064695138892" createdVersion="8" refreshedVersion="8" minRefreshableVersion="3" recordCount="4" xr:uid="{C5A5CF18-364F-4DFF-A0FF-239AA7053D36}">
  <cacheSource type="worksheet">
    <worksheetSource ref="A1:B5" sheet="Summary"/>
  </cacheSource>
  <cacheFields count="2">
    <cacheField name="Metric" numFmtId="0">
      <sharedItems count="4">
        <s v="Total Revenue"/>
        <s v="Total Cost"/>
        <s v="Total Margin"/>
        <s v="Average Order Value"/>
      </sharedItems>
    </cacheField>
    <cacheField name="Value" numFmtId="0">
      <sharedItems containsSemiMixedTypes="0" containsString="0" containsNumber="1" minValue="393.6" maxValue="39335134.97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3225626.24"/>
  </r>
  <r>
    <x v="1"/>
    <n v="13099594.73"/>
  </r>
  <r>
    <x v="2"/>
    <n v="13009914.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1668306.33"/>
  </r>
  <r>
    <x v="0"/>
    <x v="1"/>
    <n v="1663970.8"/>
  </r>
  <r>
    <x v="0"/>
    <x v="2"/>
    <n v="1608753.04"/>
  </r>
  <r>
    <x v="1"/>
    <x v="1"/>
    <n v="1619667.46"/>
  </r>
  <r>
    <x v="1"/>
    <x v="2"/>
    <n v="1608152.18"/>
  </r>
  <r>
    <x v="1"/>
    <x v="0"/>
    <n v="1560039.65"/>
  </r>
  <r>
    <x v="2"/>
    <x v="0"/>
    <n v="1687698.97"/>
  </r>
  <r>
    <x v="2"/>
    <x v="2"/>
    <n v="1650724.5"/>
  </r>
  <r>
    <x v="2"/>
    <x v="1"/>
    <n v="1646994.42"/>
  </r>
  <r>
    <x v="3"/>
    <x v="2"/>
    <n v="1691965.02"/>
  </r>
  <r>
    <x v="3"/>
    <x v="1"/>
    <n v="1639923.35"/>
  </r>
  <r>
    <x v="3"/>
    <x v="0"/>
    <n v="1615474.8"/>
  </r>
  <r>
    <x v="4"/>
    <x v="1"/>
    <n v="1666459.12"/>
  </r>
  <r>
    <x v="4"/>
    <x v="2"/>
    <n v="1652549.21"/>
  </r>
  <r>
    <x v="4"/>
    <x v="0"/>
    <n v="1612412.15"/>
  </r>
  <r>
    <x v="5"/>
    <x v="2"/>
    <n v="1668417.77"/>
  </r>
  <r>
    <x v="5"/>
    <x v="1"/>
    <n v="1625749.51"/>
  </r>
  <r>
    <x v="5"/>
    <x v="0"/>
    <n v="1590020.16"/>
  </r>
  <r>
    <x v="6"/>
    <x v="0"/>
    <n v="1680910.79"/>
  </r>
  <r>
    <x v="6"/>
    <x v="2"/>
    <n v="1666964.97"/>
  </r>
  <r>
    <x v="6"/>
    <x v="1"/>
    <n v="1594678.9"/>
  </r>
  <r>
    <x v="7"/>
    <x v="1"/>
    <n v="1660215.45"/>
  </r>
  <r>
    <x v="7"/>
    <x v="0"/>
    <n v="1639620.72"/>
  </r>
  <r>
    <x v="7"/>
    <x v="2"/>
    <n v="1615465.7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39335134.979999997"/>
  </r>
  <r>
    <x v="1"/>
    <n v="31461449.329999998"/>
  </r>
  <r>
    <x v="2"/>
    <n v="7873685.6600000001"/>
  </r>
  <r>
    <x v="3"/>
    <n v="393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3BD6F5-7C16-4AA5-A235-6F544722DA71}" name="PivotTable1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F2:G7" firstHeaderRow="1" firstDataRow="1" firstDataCol="1"/>
  <pivotFields count="2">
    <pivotField axis="axisRow" showAll="0">
      <items count="5">
        <item x="3"/>
        <item x="1"/>
        <item x="2"/>
        <item x="0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Value" fld="1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EB42E-0B17-45B9-941C-65CCFBF24ED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B11" firstHeaderRow="1" firstDataRow="1" firstDataCol="1"/>
  <pivotFields count="2">
    <pivotField axis="axisRow" showAll="0">
      <items count="4">
        <item x="2"/>
        <item x="0"/>
        <item x="1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54A6B3-4B02-4248-A88F-628C42B1F844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11:K44" firstHeaderRow="1" firstDataRow="1" firstDataCol="1"/>
  <pivotFields count="3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4">
        <item x="0"/>
        <item x="2"/>
        <item x="1"/>
        <item t="default"/>
      </items>
    </pivotField>
    <pivotField dataField="1" showAll="0"/>
  </pivotFields>
  <rowFields count="2">
    <field x="0"/>
    <field x="1"/>
  </rowFields>
  <rowItems count="3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 t="grand">
      <x/>
    </i>
  </rowItems>
  <colItems count="1">
    <i/>
  </colItems>
  <dataFields count="1">
    <dataField name="Sum of Revenue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BE8C3-E6EC-4BEE-B1B7-A4BC57CB7FF0}">
  <dimension ref="A1:G4"/>
  <sheetViews>
    <sheetView tabSelected="1" zoomScale="77" workbookViewId="0">
      <selection sqref="A1:B1"/>
    </sheetView>
  </sheetViews>
  <sheetFormatPr defaultRowHeight="14.4"/>
  <cols>
    <col min="1" max="1" width="22.88671875" bestFit="1" customWidth="1"/>
    <col min="2" max="2" width="18.6640625" customWidth="1"/>
    <col min="3" max="3" width="22.44140625" bestFit="1" customWidth="1"/>
    <col min="5" max="5" width="21.77734375" bestFit="1" customWidth="1"/>
    <col min="7" max="7" width="12.5546875" bestFit="1" customWidth="1"/>
    <col min="8" max="8" width="14.88671875" bestFit="1" customWidth="1"/>
  </cols>
  <sheetData>
    <row r="1" spans="1:7" ht="23.4">
      <c r="A1" s="7" t="s">
        <v>58</v>
      </c>
      <c r="B1" s="7"/>
    </row>
    <row r="3" spans="1:7">
      <c r="A3" t="s">
        <v>2</v>
      </c>
      <c r="C3" t="s">
        <v>3</v>
      </c>
      <c r="E3" t="s">
        <v>4</v>
      </c>
      <c r="G3" t="s">
        <v>5</v>
      </c>
    </row>
    <row r="4" spans="1:7" s="4" customFormat="1" ht="21">
      <c r="A4" s="3">
        <v>39335134.979999997</v>
      </c>
      <c r="B4" s="3"/>
      <c r="C4" s="3">
        <v>31461449.329999998</v>
      </c>
      <c r="E4" s="5">
        <v>7873685.6600000001</v>
      </c>
      <c r="G4" s="3">
        <v>393.6</v>
      </c>
    </row>
  </sheetData>
  <mergeCells count="1">
    <mergeCell ref="A1:B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K18" sqref="K18"/>
    </sheetView>
  </sheetViews>
  <sheetFormatPr defaultRowHeight="14.4"/>
  <cols>
    <col min="4" max="4" width="17.88671875" bestFit="1" customWidth="1"/>
    <col min="5" max="5" width="12.21875" bestFit="1" customWidth="1"/>
    <col min="6" max="6" width="17.88671875" bestFit="1" customWidth="1"/>
    <col min="7" max="8" width="12.21875" bestFit="1" customWidth="1"/>
    <col min="9" max="9" width="12" bestFit="1" customWidth="1"/>
  </cols>
  <sheetData>
    <row r="1" spans="1:7">
      <c r="A1" t="s">
        <v>0</v>
      </c>
      <c r="B1" t="s">
        <v>1</v>
      </c>
    </row>
    <row r="2" spans="1:7">
      <c r="A2" t="s">
        <v>2</v>
      </c>
      <c r="B2">
        <v>39335134.979999997</v>
      </c>
      <c r="F2" s="1" t="s">
        <v>57</v>
      </c>
      <c r="G2" t="s">
        <v>56</v>
      </c>
    </row>
    <row r="3" spans="1:7">
      <c r="A3" t="s">
        <v>3</v>
      </c>
      <c r="B3">
        <v>31461449.329999998</v>
      </c>
      <c r="F3" s="2" t="s">
        <v>5</v>
      </c>
      <c r="G3">
        <v>393.6</v>
      </c>
    </row>
    <row r="4" spans="1:7">
      <c r="A4" t="s">
        <v>4</v>
      </c>
      <c r="B4">
        <v>7873685.6600000001</v>
      </c>
      <c r="F4" s="2" t="s">
        <v>3</v>
      </c>
      <c r="G4">
        <v>31461449.329999998</v>
      </c>
    </row>
    <row r="5" spans="1:7">
      <c r="A5" t="s">
        <v>5</v>
      </c>
      <c r="B5">
        <v>393.6</v>
      </c>
      <c r="F5" s="2" t="s">
        <v>4</v>
      </c>
      <c r="G5">
        <v>7873685.6600000001</v>
      </c>
    </row>
    <row r="6" spans="1:7">
      <c r="F6" s="2" t="s">
        <v>2</v>
      </c>
      <c r="G6">
        <v>39335134.979999997</v>
      </c>
    </row>
    <row r="7" spans="1:7">
      <c r="F7" s="2" t="s">
        <v>55</v>
      </c>
      <c r="G7">
        <v>78670663.569999993</v>
      </c>
    </row>
  </sheetData>
  <pageMargins left="0.75" right="0.75" top="1" bottom="1" header="0.5" footer="0.5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6" sqref="A1:B9"/>
    </sheetView>
  </sheetViews>
  <sheetFormatPr defaultRowHeight="14.4"/>
  <sheetData>
    <row r="1" spans="1:2">
      <c r="A1" t="s">
        <v>6</v>
      </c>
      <c r="B1" t="s">
        <v>7</v>
      </c>
    </row>
    <row r="2" spans="1:2">
      <c r="A2" t="s">
        <v>8</v>
      </c>
      <c r="B2">
        <v>4985417.9000000004</v>
      </c>
    </row>
    <row r="3" spans="1:2">
      <c r="A3" t="s">
        <v>9</v>
      </c>
      <c r="B3">
        <v>4947363.17</v>
      </c>
    </row>
    <row r="4" spans="1:2">
      <c r="A4" t="s">
        <v>10</v>
      </c>
      <c r="B4">
        <v>4942554.66</v>
      </c>
    </row>
    <row r="5" spans="1:2">
      <c r="A5" t="s">
        <v>11</v>
      </c>
      <c r="B5">
        <v>4941030.17</v>
      </c>
    </row>
    <row r="6" spans="1:2">
      <c r="A6" t="s">
        <v>12</v>
      </c>
      <c r="B6">
        <v>4931420.4800000004</v>
      </c>
    </row>
    <row r="7" spans="1:2">
      <c r="A7" t="s">
        <v>13</v>
      </c>
      <c r="B7">
        <v>4915301.88</v>
      </c>
    </row>
    <row r="8" spans="1:2">
      <c r="A8" t="s">
        <v>14</v>
      </c>
      <c r="B8">
        <v>4884187.45</v>
      </c>
    </row>
    <row r="9" spans="1:2">
      <c r="A9" t="s">
        <v>15</v>
      </c>
      <c r="B9">
        <v>4787859.29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B8" sqref="A1:B9"/>
    </sheetView>
  </sheetViews>
  <sheetFormatPr defaultRowHeight="14.4"/>
  <sheetData>
    <row r="1" spans="1:2">
      <c r="A1" t="s">
        <v>16</v>
      </c>
      <c r="B1" t="s">
        <v>7</v>
      </c>
    </row>
    <row r="2" spans="1:2">
      <c r="A2" t="s">
        <v>17</v>
      </c>
      <c r="B2">
        <v>4999465.1500000004</v>
      </c>
    </row>
    <row r="3" spans="1:2">
      <c r="A3" t="s">
        <v>18</v>
      </c>
      <c r="B3">
        <v>4985262.21</v>
      </c>
    </row>
    <row r="4" spans="1:2">
      <c r="A4" t="s">
        <v>19</v>
      </c>
      <c r="B4">
        <v>4950786.97</v>
      </c>
    </row>
    <row r="5" spans="1:2">
      <c r="A5" t="s">
        <v>20</v>
      </c>
      <c r="B5">
        <v>4900659.09</v>
      </c>
    </row>
    <row r="6" spans="1:2">
      <c r="A6" t="s">
        <v>21</v>
      </c>
      <c r="B6">
        <v>4899356.6399999997</v>
      </c>
    </row>
    <row r="7" spans="1:2">
      <c r="A7" t="s">
        <v>22</v>
      </c>
      <c r="B7">
        <v>4897600.18</v>
      </c>
    </row>
    <row r="8" spans="1:2">
      <c r="A8" t="s">
        <v>23</v>
      </c>
      <c r="B8">
        <v>4877774.67</v>
      </c>
    </row>
    <row r="9" spans="1:2">
      <c r="A9" t="s">
        <v>24</v>
      </c>
      <c r="B9">
        <v>4824230.07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O12" sqref="O12"/>
    </sheetView>
  </sheetViews>
  <sheetFormatPr defaultRowHeight="14.4"/>
  <sheetData>
    <row r="1" spans="1:2">
      <c r="A1" t="s">
        <v>25</v>
      </c>
      <c r="B1" t="s">
        <v>7</v>
      </c>
    </row>
    <row r="2" spans="1:2">
      <c r="A2" t="s">
        <v>26</v>
      </c>
      <c r="B2">
        <v>13162992.4</v>
      </c>
    </row>
    <row r="3" spans="1:2">
      <c r="A3" t="s">
        <v>27</v>
      </c>
      <c r="B3">
        <v>13117659.01</v>
      </c>
    </row>
    <row r="4" spans="1:2">
      <c r="A4" t="s">
        <v>28</v>
      </c>
      <c r="B4">
        <v>13054483.57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selection activeCell="B6" sqref="A1:B9"/>
    </sheetView>
  </sheetViews>
  <sheetFormatPr defaultRowHeight="14.4"/>
  <sheetData>
    <row r="1" spans="1:2">
      <c r="A1" t="s">
        <v>29</v>
      </c>
      <c r="B1" t="s">
        <v>7</v>
      </c>
    </row>
    <row r="2" spans="1:2">
      <c r="A2" t="s">
        <v>30</v>
      </c>
      <c r="B2">
        <v>5019512.9000000004</v>
      </c>
    </row>
    <row r="3" spans="1:2">
      <c r="A3" t="s">
        <v>31</v>
      </c>
      <c r="B3">
        <v>4967523.37</v>
      </c>
    </row>
    <row r="4" spans="1:2">
      <c r="A4" t="s">
        <v>32</v>
      </c>
      <c r="B4">
        <v>4942030.33</v>
      </c>
    </row>
    <row r="5" spans="1:2">
      <c r="A5" t="s">
        <v>33</v>
      </c>
      <c r="B5">
        <v>4941904.04</v>
      </c>
    </row>
    <row r="6" spans="1:2">
      <c r="A6" t="s">
        <v>34</v>
      </c>
      <c r="B6">
        <v>4937874.07</v>
      </c>
    </row>
    <row r="7" spans="1:2">
      <c r="A7" t="s">
        <v>35</v>
      </c>
      <c r="B7">
        <v>4868135.99</v>
      </c>
    </row>
    <row r="8" spans="1:2">
      <c r="A8" t="s">
        <v>36</v>
      </c>
      <c r="B8">
        <v>4853369.5599999996</v>
      </c>
    </row>
    <row r="9" spans="1:2">
      <c r="A9" t="s">
        <v>37</v>
      </c>
      <c r="B9">
        <v>4804784.72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>
      <selection activeCell="B8" sqref="A1:B13"/>
    </sheetView>
  </sheetViews>
  <sheetFormatPr defaultRowHeight="14.4"/>
  <sheetData>
    <row r="1" spans="1:2">
      <c r="A1" t="s">
        <v>38</v>
      </c>
      <c r="B1" t="s">
        <v>7</v>
      </c>
    </row>
    <row r="2" spans="1:2">
      <c r="A2" t="s">
        <v>39</v>
      </c>
      <c r="B2">
        <v>3365380.56</v>
      </c>
    </row>
    <row r="3" spans="1:2">
      <c r="A3" t="s">
        <v>40</v>
      </c>
      <c r="B3">
        <v>3140896.09</v>
      </c>
    </row>
    <row r="4" spans="1:2">
      <c r="A4" t="s">
        <v>41</v>
      </c>
      <c r="B4">
        <v>3350248.06</v>
      </c>
    </row>
    <row r="5" spans="1:2">
      <c r="A5" t="s">
        <v>42</v>
      </c>
      <c r="B5">
        <v>3280835.98</v>
      </c>
    </row>
    <row r="6" spans="1:2">
      <c r="A6" t="s">
        <v>43</v>
      </c>
      <c r="B6">
        <v>3346824.18</v>
      </c>
    </row>
    <row r="7" spans="1:2">
      <c r="A7" t="s">
        <v>44</v>
      </c>
      <c r="B7">
        <v>3175117.85</v>
      </c>
    </row>
    <row r="8" spans="1:2">
      <c r="A8" t="s">
        <v>45</v>
      </c>
      <c r="B8">
        <v>3346063.43</v>
      </c>
    </row>
    <row r="9" spans="1:2">
      <c r="A9" t="s">
        <v>46</v>
      </c>
      <c r="B9">
        <v>3375015.06</v>
      </c>
    </row>
    <row r="10" spans="1:2">
      <c r="A10" t="s">
        <v>47</v>
      </c>
      <c r="B10">
        <v>3211407.61</v>
      </c>
    </row>
    <row r="11" spans="1:2">
      <c r="A11" t="s">
        <v>48</v>
      </c>
      <c r="B11">
        <v>3330184.25</v>
      </c>
    </row>
    <row r="12" spans="1:2">
      <c r="A12" t="s">
        <v>49</v>
      </c>
      <c r="B12">
        <v>3192325.89</v>
      </c>
    </row>
    <row r="13" spans="1:2">
      <c r="A13" t="s">
        <v>50</v>
      </c>
      <c r="B13">
        <v>3220836.04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>
      <selection activeCell="B9" sqref="A7:B11"/>
    </sheetView>
  </sheetViews>
  <sheetFormatPr defaultRowHeight="14.4"/>
  <cols>
    <col min="1" max="1" width="12.5546875" bestFit="1" customWidth="1"/>
    <col min="2" max="2" width="14.88671875" bestFit="1" customWidth="1"/>
  </cols>
  <sheetData>
    <row r="1" spans="1:2">
      <c r="A1" t="s">
        <v>51</v>
      </c>
      <c r="B1" t="s">
        <v>7</v>
      </c>
    </row>
    <row r="2" spans="1:2">
      <c r="A2" t="s">
        <v>52</v>
      </c>
      <c r="B2">
        <v>13225626.24</v>
      </c>
    </row>
    <row r="3" spans="1:2">
      <c r="A3" t="s">
        <v>53</v>
      </c>
      <c r="B3">
        <v>13099594.73</v>
      </c>
    </row>
    <row r="4" spans="1:2">
      <c r="A4" t="s">
        <v>54</v>
      </c>
      <c r="B4">
        <v>13009914.01</v>
      </c>
    </row>
    <row r="7" spans="1:2">
      <c r="A7" s="1" t="s">
        <v>57</v>
      </c>
      <c r="B7" t="s">
        <v>59</v>
      </c>
    </row>
    <row r="8" spans="1:2">
      <c r="A8" s="2" t="s">
        <v>54</v>
      </c>
      <c r="B8">
        <v>13009914.01</v>
      </c>
    </row>
    <row r="9" spans="1:2">
      <c r="A9" s="2" t="s">
        <v>52</v>
      </c>
      <c r="B9">
        <v>13225626.24</v>
      </c>
    </row>
    <row r="10" spans="1:2">
      <c r="A10" s="2" t="s">
        <v>53</v>
      </c>
      <c r="B10">
        <v>13099594.73</v>
      </c>
    </row>
    <row r="11" spans="1:2">
      <c r="A11" s="2" t="s">
        <v>55</v>
      </c>
      <c r="B11">
        <v>39335134.980000004</v>
      </c>
    </row>
  </sheetData>
  <pageMargins left="0.75" right="0.75" top="1" bottom="1" header="0.5" footer="0.5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4"/>
  <sheetViews>
    <sheetView workbookViewId="0">
      <selection activeCell="J11" sqref="J11"/>
    </sheetView>
  </sheetViews>
  <sheetFormatPr defaultRowHeight="14.4"/>
  <cols>
    <col min="10" max="10" width="15.77734375" bestFit="1" customWidth="1"/>
    <col min="11" max="11" width="14.88671875" bestFit="1" customWidth="1"/>
  </cols>
  <sheetData>
    <row r="1" spans="1:11">
      <c r="A1" t="s">
        <v>6</v>
      </c>
      <c r="B1" t="s">
        <v>25</v>
      </c>
      <c r="C1" t="s">
        <v>7</v>
      </c>
    </row>
    <row r="2" spans="1:11">
      <c r="A2" t="s">
        <v>11</v>
      </c>
      <c r="B2" t="s">
        <v>28</v>
      </c>
      <c r="C2">
        <v>1668306.33</v>
      </c>
    </row>
    <row r="3" spans="1:11">
      <c r="A3" t="s">
        <v>11</v>
      </c>
      <c r="B3" t="s">
        <v>27</v>
      </c>
      <c r="C3">
        <v>1663970.8</v>
      </c>
    </row>
    <row r="4" spans="1:11">
      <c r="A4" t="s">
        <v>11</v>
      </c>
      <c r="B4" t="s">
        <v>26</v>
      </c>
      <c r="C4">
        <v>1608753.04</v>
      </c>
    </row>
    <row r="5" spans="1:11">
      <c r="A5" t="s">
        <v>15</v>
      </c>
      <c r="B5" t="s">
        <v>27</v>
      </c>
      <c r="C5">
        <v>1619667.46</v>
      </c>
    </row>
    <row r="6" spans="1:11">
      <c r="A6" t="s">
        <v>15</v>
      </c>
      <c r="B6" t="s">
        <v>26</v>
      </c>
      <c r="C6">
        <v>1608152.18</v>
      </c>
    </row>
    <row r="7" spans="1:11">
      <c r="A7" t="s">
        <v>15</v>
      </c>
      <c r="B7" t="s">
        <v>28</v>
      </c>
      <c r="C7">
        <v>1560039.65</v>
      </c>
    </row>
    <row r="8" spans="1:11">
      <c r="A8" t="s">
        <v>8</v>
      </c>
      <c r="B8" t="s">
        <v>28</v>
      </c>
      <c r="C8">
        <v>1687698.97</v>
      </c>
    </row>
    <row r="9" spans="1:11">
      <c r="A9" t="s">
        <v>8</v>
      </c>
      <c r="B9" t="s">
        <v>26</v>
      </c>
      <c r="C9">
        <v>1650724.5</v>
      </c>
    </row>
    <row r="10" spans="1:11">
      <c r="A10" t="s">
        <v>8</v>
      </c>
      <c r="B10" t="s">
        <v>27</v>
      </c>
      <c r="C10">
        <v>1646994.42</v>
      </c>
    </row>
    <row r="11" spans="1:11">
      <c r="A11" t="s">
        <v>9</v>
      </c>
      <c r="B11" t="s">
        <v>26</v>
      </c>
      <c r="C11">
        <v>1691965.02</v>
      </c>
      <c r="J11" s="1" t="s">
        <v>57</v>
      </c>
      <c r="K11" t="s">
        <v>59</v>
      </c>
    </row>
    <row r="12" spans="1:11">
      <c r="A12" t="s">
        <v>9</v>
      </c>
      <c r="B12" t="s">
        <v>27</v>
      </c>
      <c r="C12">
        <v>1639923.35</v>
      </c>
      <c r="J12" s="2" t="s">
        <v>11</v>
      </c>
      <c r="K12">
        <v>4941030.17</v>
      </c>
    </row>
    <row r="13" spans="1:11">
      <c r="A13" t="s">
        <v>9</v>
      </c>
      <c r="B13" t="s">
        <v>28</v>
      </c>
      <c r="C13">
        <v>1615474.8</v>
      </c>
      <c r="J13" s="6" t="s">
        <v>28</v>
      </c>
      <c r="K13">
        <v>1668306.33</v>
      </c>
    </row>
    <row r="14" spans="1:11">
      <c r="A14" t="s">
        <v>12</v>
      </c>
      <c r="B14" t="s">
        <v>27</v>
      </c>
      <c r="C14">
        <v>1666459.12</v>
      </c>
      <c r="J14" s="6" t="s">
        <v>26</v>
      </c>
      <c r="K14">
        <v>1608753.04</v>
      </c>
    </row>
    <row r="15" spans="1:11">
      <c r="A15" t="s">
        <v>12</v>
      </c>
      <c r="B15" t="s">
        <v>26</v>
      </c>
      <c r="C15">
        <v>1652549.21</v>
      </c>
      <c r="J15" s="6" t="s">
        <v>27</v>
      </c>
      <c r="K15">
        <v>1663970.8</v>
      </c>
    </row>
    <row r="16" spans="1:11">
      <c r="A16" t="s">
        <v>12</v>
      </c>
      <c r="B16" t="s">
        <v>28</v>
      </c>
      <c r="C16">
        <v>1612412.15</v>
      </c>
      <c r="J16" s="2" t="s">
        <v>15</v>
      </c>
      <c r="K16">
        <v>4787859.29</v>
      </c>
    </row>
    <row r="17" spans="1:11">
      <c r="A17" t="s">
        <v>14</v>
      </c>
      <c r="B17" t="s">
        <v>26</v>
      </c>
      <c r="C17">
        <v>1668417.77</v>
      </c>
      <c r="J17" s="6" t="s">
        <v>28</v>
      </c>
      <c r="K17">
        <v>1560039.65</v>
      </c>
    </row>
    <row r="18" spans="1:11">
      <c r="A18" t="s">
        <v>14</v>
      </c>
      <c r="B18" t="s">
        <v>27</v>
      </c>
      <c r="C18">
        <v>1625749.51</v>
      </c>
      <c r="J18" s="6" t="s">
        <v>26</v>
      </c>
      <c r="K18">
        <v>1608152.18</v>
      </c>
    </row>
    <row r="19" spans="1:11">
      <c r="A19" t="s">
        <v>14</v>
      </c>
      <c r="B19" t="s">
        <v>28</v>
      </c>
      <c r="C19">
        <v>1590020.16</v>
      </c>
      <c r="J19" s="6" t="s">
        <v>27</v>
      </c>
      <c r="K19">
        <v>1619667.46</v>
      </c>
    </row>
    <row r="20" spans="1:11">
      <c r="A20" t="s">
        <v>10</v>
      </c>
      <c r="B20" t="s">
        <v>28</v>
      </c>
      <c r="C20">
        <v>1680910.79</v>
      </c>
      <c r="J20" s="2" t="s">
        <v>8</v>
      </c>
      <c r="K20">
        <v>4985417.8899999997</v>
      </c>
    </row>
    <row r="21" spans="1:11">
      <c r="A21" t="s">
        <v>10</v>
      </c>
      <c r="B21" t="s">
        <v>26</v>
      </c>
      <c r="C21">
        <v>1666964.97</v>
      </c>
      <c r="J21" s="6" t="s">
        <v>28</v>
      </c>
      <c r="K21">
        <v>1687698.97</v>
      </c>
    </row>
    <row r="22" spans="1:11">
      <c r="A22" t="s">
        <v>10</v>
      </c>
      <c r="B22" t="s">
        <v>27</v>
      </c>
      <c r="C22">
        <v>1594678.9</v>
      </c>
      <c r="J22" s="6" t="s">
        <v>26</v>
      </c>
      <c r="K22">
        <v>1650724.5</v>
      </c>
    </row>
    <row r="23" spans="1:11">
      <c r="A23" t="s">
        <v>13</v>
      </c>
      <c r="B23" t="s">
        <v>27</v>
      </c>
      <c r="C23">
        <v>1660215.45</v>
      </c>
      <c r="J23" s="6" t="s">
        <v>27</v>
      </c>
      <c r="K23">
        <v>1646994.42</v>
      </c>
    </row>
    <row r="24" spans="1:11">
      <c r="A24" t="s">
        <v>13</v>
      </c>
      <c r="B24" t="s">
        <v>28</v>
      </c>
      <c r="C24">
        <v>1639620.72</v>
      </c>
      <c r="J24" s="2" t="s">
        <v>9</v>
      </c>
      <c r="K24">
        <v>4947363.17</v>
      </c>
    </row>
    <row r="25" spans="1:11">
      <c r="A25" t="s">
        <v>13</v>
      </c>
      <c r="B25" t="s">
        <v>26</v>
      </c>
      <c r="C25">
        <v>1615465.71</v>
      </c>
      <c r="J25" s="6" t="s">
        <v>28</v>
      </c>
      <c r="K25">
        <v>1615474.8</v>
      </c>
    </row>
    <row r="26" spans="1:11">
      <c r="J26" s="6" t="s">
        <v>26</v>
      </c>
      <c r="K26">
        <v>1691965.02</v>
      </c>
    </row>
    <row r="27" spans="1:11">
      <c r="J27" s="6" t="s">
        <v>27</v>
      </c>
      <c r="K27">
        <v>1639923.35</v>
      </c>
    </row>
    <row r="28" spans="1:11">
      <c r="J28" s="2" t="s">
        <v>12</v>
      </c>
      <c r="K28">
        <v>4931420.4800000004</v>
      </c>
    </row>
    <row r="29" spans="1:11">
      <c r="J29" s="6" t="s">
        <v>28</v>
      </c>
      <c r="K29">
        <v>1612412.15</v>
      </c>
    </row>
    <row r="30" spans="1:11">
      <c r="J30" s="6" t="s">
        <v>26</v>
      </c>
      <c r="K30">
        <v>1652549.21</v>
      </c>
    </row>
    <row r="31" spans="1:11">
      <c r="J31" s="6" t="s">
        <v>27</v>
      </c>
      <c r="K31">
        <v>1666459.12</v>
      </c>
    </row>
    <row r="32" spans="1:11">
      <c r="J32" s="2" t="s">
        <v>14</v>
      </c>
      <c r="K32">
        <v>4884187.4399999995</v>
      </c>
    </row>
    <row r="33" spans="10:11">
      <c r="J33" s="6" t="s">
        <v>28</v>
      </c>
      <c r="K33">
        <v>1590020.16</v>
      </c>
    </row>
    <row r="34" spans="10:11">
      <c r="J34" s="6" t="s">
        <v>26</v>
      </c>
      <c r="K34">
        <v>1668417.77</v>
      </c>
    </row>
    <row r="35" spans="10:11">
      <c r="J35" s="6" t="s">
        <v>27</v>
      </c>
      <c r="K35">
        <v>1625749.51</v>
      </c>
    </row>
    <row r="36" spans="10:11">
      <c r="J36" s="2" t="s">
        <v>10</v>
      </c>
      <c r="K36">
        <v>4942554.66</v>
      </c>
    </row>
    <row r="37" spans="10:11">
      <c r="J37" s="6" t="s">
        <v>28</v>
      </c>
      <c r="K37">
        <v>1680910.79</v>
      </c>
    </row>
    <row r="38" spans="10:11">
      <c r="J38" s="6" t="s">
        <v>26</v>
      </c>
      <c r="K38">
        <v>1666964.97</v>
      </c>
    </row>
    <row r="39" spans="10:11">
      <c r="J39" s="6" t="s">
        <v>27</v>
      </c>
      <c r="K39">
        <v>1594678.9</v>
      </c>
    </row>
    <row r="40" spans="10:11">
      <c r="J40" s="2" t="s">
        <v>13</v>
      </c>
      <c r="K40">
        <v>4915301.88</v>
      </c>
    </row>
    <row r="41" spans="10:11">
      <c r="J41" s="6" t="s">
        <v>28</v>
      </c>
      <c r="K41">
        <v>1639620.72</v>
      </c>
    </row>
    <row r="42" spans="10:11">
      <c r="J42" s="6" t="s">
        <v>26</v>
      </c>
      <c r="K42">
        <v>1615465.71</v>
      </c>
    </row>
    <row r="43" spans="10:11">
      <c r="J43" s="6" t="s">
        <v>27</v>
      </c>
      <c r="K43">
        <v>1660215.45</v>
      </c>
    </row>
    <row r="44" spans="10:11">
      <c r="J44" s="2" t="s">
        <v>55</v>
      </c>
      <c r="K44">
        <v>39335134.980000004</v>
      </c>
    </row>
  </sheetData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Summary</vt:lpstr>
      <vt:lpstr>Revenue by Category</vt:lpstr>
      <vt:lpstr>Revenue by City</vt:lpstr>
      <vt:lpstr>Revenue by Channel</vt:lpstr>
      <vt:lpstr>Revenue by Brand</vt:lpstr>
      <vt:lpstr>Monthly Revenue</vt:lpstr>
      <vt:lpstr>Store Format</vt:lpstr>
      <vt:lpstr>Category &amp; Channel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Sami Ahmad</cp:lastModifiedBy>
  <dcterms:created xsi:type="dcterms:W3CDTF">2026-09-21T18:42:06Z</dcterms:created>
  <dcterms:modified xsi:type="dcterms:W3CDTF">2026-09-22T06:09:36Z</dcterms:modified>
</cp:coreProperties>
</file>